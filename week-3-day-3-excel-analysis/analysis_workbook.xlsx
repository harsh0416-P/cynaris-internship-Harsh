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43BD8508-1A65-401D-8198-50F85BBCBC3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Data" sheetId="1" r:id="rId1"/>
    <sheet name="Revenue Pivot" sheetId="2" r:id="rId2"/>
  </sheets>
  <definedNames>
    <definedName name="Slicer_Region">#N/A</definedName>
  </definedNames>
  <calcPr calcId="191028"/>
  <pivotCaches>
    <pivotCache cacheId="28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F3" i="1"/>
  <c r="F4" i="1"/>
  <c r="F5" i="1"/>
  <c r="F6" i="1"/>
  <c r="F7" i="1"/>
  <c r="F8" i="1"/>
  <c r="F9" i="1"/>
  <c r="F10" i="1"/>
  <c r="F11" i="1"/>
  <c r="F12" i="1"/>
  <c r="F13" i="1"/>
  <c r="G2" i="1"/>
  <c r="F2" i="1"/>
</calcChain>
</file>

<file path=xl/sharedStrings.xml><?xml version="1.0" encoding="utf-8"?>
<sst xmlns="http://schemas.openxmlformats.org/spreadsheetml/2006/main" count="55" uniqueCount="20">
  <si>
    <t>Date</t>
  </si>
  <si>
    <t>Region</t>
  </si>
  <si>
    <t>Product</t>
  </si>
  <si>
    <t>Revenue</t>
  </si>
  <si>
    <t>Cost</t>
  </si>
  <si>
    <t>Profit</t>
  </si>
  <si>
    <t>Profit Margin %</t>
  </si>
  <si>
    <t>South</t>
  </si>
  <si>
    <t>Laptop</t>
  </si>
  <si>
    <t>North</t>
  </si>
  <si>
    <t>Mobile</t>
  </si>
  <si>
    <t>East</t>
  </si>
  <si>
    <t>Tablet</t>
  </si>
  <si>
    <t>West</t>
  </si>
  <si>
    <t>Sum of Revenue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</si>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</sst>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[analysis_workbook.xlsx.xlsx]Revenue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 by 'Region' and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Pivot'!$C$2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'Revenue Pivot'!$A$3:$B$19</c:f>
              <c:multiLvlStrCache>
                <c:ptCount val="12"/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Laptop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Laptop</c:v>
                  </c:pt>
                  <c:pt idx="10">
                    <c:v>Mobile</c:v>
                  </c:pt>
                  <c:pt idx="11">
                    <c:v>Tablet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'Revenue Pivot'!$C$3:$C$19</c:f>
              <c:numCache>
                <c:formatCode>General</c:formatCode>
                <c:ptCount val="12"/>
                <c:pt idx="0">
                  <c:v>55000</c:v>
                </c:pt>
                <c:pt idx="1">
                  <c:v>32000</c:v>
                </c:pt>
                <c:pt idx="2">
                  <c:v>20000</c:v>
                </c:pt>
                <c:pt idx="3">
                  <c:v>60000</c:v>
                </c:pt>
                <c:pt idx="4">
                  <c:v>30000</c:v>
                </c:pt>
                <c:pt idx="5">
                  <c:v>15000</c:v>
                </c:pt>
                <c:pt idx="6">
                  <c:v>50000</c:v>
                </c:pt>
                <c:pt idx="7">
                  <c:v>25000</c:v>
                </c:pt>
                <c:pt idx="8">
                  <c:v>18000</c:v>
                </c:pt>
                <c:pt idx="9">
                  <c:v>45000</c:v>
                </c:pt>
                <c:pt idx="10">
                  <c:v>28000</c:v>
                </c:pt>
                <c:pt idx="11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9-4F1F-A1BF-BCE2C18AC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9966472"/>
        <c:axId val="179968520"/>
      </c:barChart>
      <c:catAx>
        <c:axId val="17996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68520"/>
        <c:crosses val="autoZero"/>
        <c:auto val="1"/>
        <c:lblAlgn val="ctr"/>
        <c:lblOffset val="100"/>
        <c:noMultiLvlLbl val="0"/>
      </c:catAx>
      <c:valAx>
        <c:axId val="1799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6647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 descr="Chart type: Clustered Column. 'Revenue' by 'Region' and 'Product'&#10;&#10;Description automatically generated">
          <a:extLst>
            <a:ext uri="{FF2B5EF4-FFF2-40B4-BE49-F238E27FC236}">
              <a16:creationId xmlns:a16="http://schemas.microsoft.com/office/drawing/2014/main" id="{FB38A0D7-D85F-CE61-0190-FD5C482B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238125</xdr:colOff>
      <xdr:row>1</xdr:row>
      <xdr:rowOff>9525</xdr:rowOff>
    </xdr:from>
    <xdr:to>
      <xdr:col>15</xdr:col>
      <xdr:colOff>238125</xdr:colOff>
      <xdr:row>14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05ABBF0A-6777-3648-A8F5-9B68C633EFEA}"/>
                </a:ext>
                <a:ext uri="{147F2762-F138-4A5C-976F-8EAC2B608ADB}">
                  <a16:predDERef xmlns:a16="http://schemas.microsoft.com/office/drawing/2014/main" pred="{FB38A0D7-D85F-CE61-0190-FD5C482B84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20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461808796295" createdVersion="8" refreshedVersion="8" minRefreshableVersion="3" recordCount="12" xr:uid="{67FCCDEF-A46B-4787-830F-EE9E519B7725}">
  <cacheSource type="worksheet">
    <worksheetSource ref="A1:E13" sheet="SalesData"/>
  </cacheSource>
  <cacheFields count="5">
    <cacheField name="Date" numFmtId="14">
      <sharedItems containsSemiMixedTypes="0" containsNonDate="0" containsDate="1" containsString="0" minDate="2026-01-05T00:00:00" maxDate="2026-06-20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Revenue" numFmtId="0">
      <sharedItems containsSemiMixedTypes="0" containsString="0" containsNumber="1" containsInteger="1" minValue="15000" maxValue="60000"/>
    </cacheField>
    <cacheField name="Cost" numFmtId="0">
      <sharedItems containsSemiMixedTypes="0" containsString="0" containsNumber="1" containsInteger="1" minValue="10000" maxValue="45000"/>
    </cacheField>
  </cacheFields>
  <extLst>
    <ext xmlns:x14="http://schemas.microsoft.com/office/spreadsheetml/2009/9/main" uri="{725AE2AE-9491-48be-B2B4-4EB974FC3084}">
      <x14:pivotCacheDefinition pivotCacheId="24149719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05T00:00:00"/>
    <x v="0"/>
    <x v="0"/>
    <n v="50000"/>
    <n v="38000"/>
  </r>
  <r>
    <d v="2026-01-12T00:00:00"/>
    <x v="1"/>
    <x v="1"/>
    <n v="30000"/>
    <n v="22000"/>
  </r>
  <r>
    <d v="2026-02-08T00:00:00"/>
    <x v="2"/>
    <x v="2"/>
    <n v="20000"/>
    <n v="14000"/>
  </r>
  <r>
    <d v="2026-02-18T00:00:00"/>
    <x v="3"/>
    <x v="0"/>
    <n v="45000"/>
    <n v="34000"/>
  </r>
  <r>
    <d v="2026-03-10T00:00:00"/>
    <x v="0"/>
    <x v="1"/>
    <n v="25000"/>
    <n v="18000"/>
  </r>
  <r>
    <d v="2026-03-22T00:00:00"/>
    <x v="1"/>
    <x v="2"/>
    <n v="15000"/>
    <n v="10000"/>
  </r>
  <r>
    <d v="2026-04-05T00:00:00"/>
    <x v="2"/>
    <x v="0"/>
    <n v="55000"/>
    <n v="41000"/>
  </r>
  <r>
    <d v="2026-04-15T00:00:00"/>
    <x v="3"/>
    <x v="1"/>
    <n v="28000"/>
    <n v="20000"/>
  </r>
  <r>
    <d v="2026-05-11T00:00:00"/>
    <x v="0"/>
    <x v="2"/>
    <n v="18000"/>
    <n v="12000"/>
  </r>
  <r>
    <d v="2026-05-25T00:00:00"/>
    <x v="1"/>
    <x v="0"/>
    <n v="60000"/>
    <n v="45000"/>
  </r>
  <r>
    <d v="2026-06-07T00:00:00"/>
    <x v="2"/>
    <x v="1"/>
    <n v="32000"/>
    <n v="23000"/>
  </r>
  <r>
    <d v="2026-06-19T00:00:00"/>
    <x v="3"/>
    <x v="2"/>
    <n v="2200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7813C-F488-48F0-987D-8FF09D50BD89}" name="PivotTable1" cacheId="2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19" firstHeaderRow="1" firstDataRow="1" firstDataCol="2"/>
  <pivotFields count="5">
    <pivotField compact="0" numFmtId="14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</pivotFields>
  <rowFields count="2">
    <field x="1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6265177-4313-47ED-81C5-7CDC3D41917E}" sourceName="Region">
  <pivotTables>
    <pivotTable tabId="2" name="PivotTable1"/>
  </pivotTables>
  <data>
    <tabular pivotCacheId="241497191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F4E02A8A-C56D-4F2B-AB26-1B2A00D61EFB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L8" sqref="L8"/>
    </sheetView>
  </sheetViews>
  <sheetFormatPr defaultRowHeight="15"/>
  <cols>
    <col min="1" max="1" width="10.140625" bestFit="1" customWidth="1"/>
    <col min="7" max="7" width="1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46027</v>
      </c>
      <c r="B2" t="s">
        <v>7</v>
      </c>
      <c r="C2" t="s">
        <v>8</v>
      </c>
      <c r="D2">
        <v>50000</v>
      </c>
      <c r="E2">
        <v>38000</v>
      </c>
      <c r="F2">
        <f>D2-E2</f>
        <v>12000</v>
      </c>
      <c r="G2">
        <f>IFERROR(F2/D2,0)</f>
        <v>0.24</v>
      </c>
    </row>
    <row r="3" spans="1:7">
      <c r="A3" s="1">
        <v>46034</v>
      </c>
      <c r="B3" t="s">
        <v>9</v>
      </c>
      <c r="C3" t="s">
        <v>10</v>
      </c>
      <c r="D3">
        <v>30000</v>
      </c>
      <c r="E3">
        <v>22000</v>
      </c>
      <c r="F3">
        <f t="shared" ref="F3:F13" si="0">D3-E3</f>
        <v>8000</v>
      </c>
      <c r="G3">
        <f t="shared" ref="G3:G13" si="1">IFERROR(F3/D3,0)</f>
        <v>0.26666666666666666</v>
      </c>
    </row>
    <row r="4" spans="1:7">
      <c r="A4" s="1">
        <v>46061</v>
      </c>
      <c r="B4" t="s">
        <v>11</v>
      </c>
      <c r="C4" t="s">
        <v>12</v>
      </c>
      <c r="D4">
        <v>20000</v>
      </c>
      <c r="E4">
        <v>14000</v>
      </c>
      <c r="F4">
        <f t="shared" si="0"/>
        <v>6000</v>
      </c>
      <c r="G4">
        <f t="shared" si="1"/>
        <v>0.3</v>
      </c>
    </row>
    <row r="5" spans="1:7">
      <c r="A5" s="1">
        <v>46071</v>
      </c>
      <c r="B5" t="s">
        <v>13</v>
      </c>
      <c r="C5" t="s">
        <v>8</v>
      </c>
      <c r="D5">
        <v>45000</v>
      </c>
      <c r="E5">
        <v>34000</v>
      </c>
      <c r="F5">
        <f t="shared" si="0"/>
        <v>11000</v>
      </c>
      <c r="G5">
        <f t="shared" si="1"/>
        <v>0.24444444444444444</v>
      </c>
    </row>
    <row r="6" spans="1:7">
      <c r="A6" s="1">
        <v>46091</v>
      </c>
      <c r="B6" t="s">
        <v>7</v>
      </c>
      <c r="C6" t="s">
        <v>10</v>
      </c>
      <c r="D6">
        <v>25000</v>
      </c>
      <c r="E6">
        <v>18000</v>
      </c>
      <c r="F6">
        <f t="shared" si="0"/>
        <v>7000</v>
      </c>
      <c r="G6">
        <f t="shared" si="1"/>
        <v>0.28000000000000003</v>
      </c>
    </row>
    <row r="7" spans="1:7">
      <c r="A7" s="1">
        <v>46103</v>
      </c>
      <c r="B7" t="s">
        <v>9</v>
      </c>
      <c r="C7" t="s">
        <v>12</v>
      </c>
      <c r="D7">
        <v>15000</v>
      </c>
      <c r="E7">
        <v>10000</v>
      </c>
      <c r="F7">
        <f t="shared" si="0"/>
        <v>5000</v>
      </c>
      <c r="G7">
        <f t="shared" si="1"/>
        <v>0.33333333333333331</v>
      </c>
    </row>
    <row r="8" spans="1:7">
      <c r="A8" s="1">
        <v>46117</v>
      </c>
      <c r="B8" t="s">
        <v>11</v>
      </c>
      <c r="C8" t="s">
        <v>8</v>
      </c>
      <c r="D8">
        <v>55000</v>
      </c>
      <c r="E8">
        <v>41000</v>
      </c>
      <c r="F8">
        <f t="shared" si="0"/>
        <v>14000</v>
      </c>
      <c r="G8">
        <f t="shared" si="1"/>
        <v>0.25454545454545452</v>
      </c>
    </row>
    <row r="9" spans="1:7">
      <c r="A9" s="1">
        <v>46127</v>
      </c>
      <c r="B9" t="s">
        <v>13</v>
      </c>
      <c r="C9" t="s">
        <v>10</v>
      </c>
      <c r="D9">
        <v>28000</v>
      </c>
      <c r="E9">
        <v>20000</v>
      </c>
      <c r="F9">
        <f t="shared" si="0"/>
        <v>8000</v>
      </c>
      <c r="G9">
        <f t="shared" si="1"/>
        <v>0.2857142857142857</v>
      </c>
    </row>
    <row r="10" spans="1:7">
      <c r="A10" s="1">
        <v>46153</v>
      </c>
      <c r="B10" t="s">
        <v>7</v>
      </c>
      <c r="C10" t="s">
        <v>12</v>
      </c>
      <c r="D10">
        <v>18000</v>
      </c>
      <c r="E10">
        <v>12000</v>
      </c>
      <c r="F10">
        <f t="shared" si="0"/>
        <v>6000</v>
      </c>
      <c r="G10">
        <f t="shared" si="1"/>
        <v>0.33333333333333331</v>
      </c>
    </row>
    <row r="11" spans="1:7">
      <c r="A11" s="1">
        <v>46167</v>
      </c>
      <c r="B11" t="s">
        <v>9</v>
      </c>
      <c r="C11" t="s">
        <v>8</v>
      </c>
      <c r="D11">
        <v>60000</v>
      </c>
      <c r="E11">
        <v>45000</v>
      </c>
      <c r="F11">
        <f t="shared" si="0"/>
        <v>15000</v>
      </c>
      <c r="G11">
        <f t="shared" si="1"/>
        <v>0.25</v>
      </c>
    </row>
    <row r="12" spans="1:7">
      <c r="A12" s="1">
        <v>46180</v>
      </c>
      <c r="B12" t="s">
        <v>11</v>
      </c>
      <c r="C12" t="s">
        <v>10</v>
      </c>
      <c r="D12">
        <v>32000</v>
      </c>
      <c r="E12">
        <v>23000</v>
      </c>
      <c r="F12">
        <f t="shared" si="0"/>
        <v>9000</v>
      </c>
      <c r="G12">
        <f t="shared" si="1"/>
        <v>0.28125</v>
      </c>
    </row>
    <row r="13" spans="1:7">
      <c r="A13" s="1">
        <v>46192</v>
      </c>
      <c r="B13" t="s">
        <v>13</v>
      </c>
      <c r="C13" t="s">
        <v>12</v>
      </c>
      <c r="D13">
        <v>22000</v>
      </c>
      <c r="E13">
        <v>15000</v>
      </c>
      <c r="F13">
        <f t="shared" si="0"/>
        <v>7000</v>
      </c>
      <c r="G13">
        <f t="shared" si="1"/>
        <v>0.31818181818181818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1D0B-3D9B-4D14-BE07-C54263CD694B}">
  <dimension ref="A2:C19"/>
  <sheetViews>
    <sheetView tabSelected="1" workbookViewId="0">
      <selection activeCell="R15" sqref="R15"/>
    </sheetView>
  </sheetViews>
  <sheetFormatPr defaultRowHeight="15"/>
  <cols>
    <col min="1" max="1" width="11.42578125" bestFit="1" customWidth="1"/>
    <col min="2" max="2" width="11.28515625" bestFit="1" customWidth="1"/>
    <col min="3" max="3" width="15.42578125" bestFit="1" customWidth="1"/>
  </cols>
  <sheetData>
    <row r="2" spans="1:3">
      <c r="A2" s="2" t="s">
        <v>1</v>
      </c>
      <c r="B2" s="2" t="s">
        <v>2</v>
      </c>
      <c r="C2" t="s">
        <v>14</v>
      </c>
    </row>
    <row r="3" spans="1:3">
      <c r="A3" t="s">
        <v>11</v>
      </c>
      <c r="B3" t="s">
        <v>8</v>
      </c>
      <c r="C3" s="3">
        <v>55000</v>
      </c>
    </row>
    <row r="4" spans="1:3">
      <c r="B4" t="s">
        <v>10</v>
      </c>
      <c r="C4" s="3">
        <v>32000</v>
      </c>
    </row>
    <row r="5" spans="1:3">
      <c r="B5" t="s">
        <v>12</v>
      </c>
      <c r="C5" s="3">
        <v>20000</v>
      </c>
    </row>
    <row r="6" spans="1:3">
      <c r="A6" t="s">
        <v>15</v>
      </c>
      <c r="C6" s="3">
        <v>107000</v>
      </c>
    </row>
    <row r="7" spans="1:3">
      <c r="A7" t="s">
        <v>9</v>
      </c>
      <c r="B7" t="s">
        <v>8</v>
      </c>
      <c r="C7" s="3">
        <v>60000</v>
      </c>
    </row>
    <row r="8" spans="1:3">
      <c r="B8" t="s">
        <v>10</v>
      </c>
      <c r="C8" s="3">
        <v>30000</v>
      </c>
    </row>
    <row r="9" spans="1:3">
      <c r="B9" t="s">
        <v>12</v>
      </c>
      <c r="C9" s="3">
        <v>15000</v>
      </c>
    </row>
    <row r="10" spans="1:3">
      <c r="A10" t="s">
        <v>16</v>
      </c>
      <c r="C10" s="3">
        <v>105000</v>
      </c>
    </row>
    <row r="11" spans="1:3">
      <c r="A11" t="s">
        <v>7</v>
      </c>
      <c r="B11" t="s">
        <v>8</v>
      </c>
      <c r="C11" s="3">
        <v>50000</v>
      </c>
    </row>
    <row r="12" spans="1:3">
      <c r="B12" t="s">
        <v>10</v>
      </c>
      <c r="C12" s="3">
        <v>25000</v>
      </c>
    </row>
    <row r="13" spans="1:3">
      <c r="B13" t="s">
        <v>12</v>
      </c>
      <c r="C13" s="3">
        <v>18000</v>
      </c>
    </row>
    <row r="14" spans="1:3">
      <c r="A14" t="s">
        <v>17</v>
      </c>
      <c r="C14" s="3">
        <v>93000</v>
      </c>
    </row>
    <row r="15" spans="1:3">
      <c r="A15" t="s">
        <v>13</v>
      </c>
      <c r="B15" t="s">
        <v>8</v>
      </c>
      <c r="C15" s="3">
        <v>45000</v>
      </c>
    </row>
    <row r="16" spans="1:3">
      <c r="B16" t="s">
        <v>10</v>
      </c>
      <c r="C16" s="3">
        <v>28000</v>
      </c>
    </row>
    <row r="17" spans="1:3">
      <c r="B17" t="s">
        <v>12</v>
      </c>
      <c r="C17" s="3">
        <v>22000</v>
      </c>
    </row>
    <row r="18" spans="1:3">
      <c r="A18" t="s">
        <v>18</v>
      </c>
      <c r="C18" s="3">
        <v>95000</v>
      </c>
    </row>
    <row r="19" spans="1:3">
      <c r="A19" t="s">
        <v>19</v>
      </c>
      <c r="C19" s="3">
        <v>400000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2026-10-15T05:26:05Z</dcterms:created>
  <dcterms:modified xsi:type="dcterms:W3CDTF">2026-10-15T05:45:32Z</dcterms:modified>
  <cp:category/>
  <cp:contentStatus/>
</cp:coreProperties>
</file>